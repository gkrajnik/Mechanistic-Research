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db5c0202c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d6536bd5e49ab"/>
    <x:sheet xmlns:r="http://schemas.openxmlformats.org/officeDocument/2006/relationships" name="Topic Manifest" sheetId="2" r:id="Rdcff4ef1dffa4982"/>
    <x:sheet xmlns:r="http://schemas.openxmlformats.org/officeDocument/2006/relationships" name="Template Manifest" sheetId="3" r:id="R601a8bf4756648da"/>
    <x:sheet xmlns:r="http://schemas.openxmlformats.org/officeDocument/2006/relationships" name="Guide" sheetId="4" r:id="R47bff0221d51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163A5C"/>
      <x:name val="Aptos"/>
    </x:font>
    <x:font>
      <x:sz val="10"/>
      <x:name val="Aptos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c833718534f22" /><Relationship Type="http://schemas.openxmlformats.org/officeDocument/2006/relationships/theme" Target="/xl/theme/theme1.xml" Id="R4f8d2e5824144099" /><Relationship Type="http://schemas.openxmlformats.org/officeDocument/2006/relationships/sharedStrings" Target="/xl/sharedStrings.xml" Id="Rff6a7e06737f4f29" /><Relationship Type="http://schemas.openxmlformats.org/officeDocument/2006/relationships/worksheet" Target="/xl/worksheets/sheet1.xml" Id="R9fbd6536bd5e49ab" /><Relationship Type="http://schemas.openxmlformats.org/officeDocument/2006/relationships/worksheet" Target="/xl/worksheets/sheet2.xml" Id="Rdcff4ef1dffa4982" /><Relationship Type="http://schemas.openxmlformats.org/officeDocument/2006/relationships/worksheet" Target="/xl/worksheets/sheet3.xml" Id="R601a8bf4756648da" /><Relationship Type="http://schemas.openxmlformats.org/officeDocument/2006/relationships/worksheet" Target="/xl/worksheets/sheet4.xml" Id="R47bff0221d5146c9" /></Relationships>
</file>

<file path=xl/tables/table1.xml><?xml version="1.0" encoding="utf-8"?>
<x:table xmlns:x="http://schemas.openxmlformats.org/spreadsheetml/2006/main" id="1" name="TopicManifestTable" displayName="TopicManifestTable" ref="A1:N11" headerRowCount="1" totalsRowCount="0" totalsRowShown="0">
  <x:tableColumns count="14">
    <x:tableColumn id="1" name="pair_id"/>
    <x:tableColumn id="2" name="topic"/>
    <x:tableColumn id="3" name="total_rows"/>
    <x:tableColumn id="4" name="normal_rows"/>
    <x:tableColumn id="5" name="roleplay_rows"/>
    <x:tableColumn id="6" name="factual_rows"/>
    <x:tableColumn id="7" name="nonfactual_rows"/>
    <x:tableColumn id="8" name="forced_yes"/>
    <x:tableColumn id="9" name="forced_no"/>
    <x:tableColumn id="10" name="factual_answer_yes"/>
    <x:tableColumn id="11" name="factual_answer_no"/>
    <x:tableColumn id="12" name="template_ids"/>
    <x:tableColumn id="13" name="question_forms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ManifestTable" displayName="TemplateManifestTable" ref="A1:D13" headerRowCount="1" totalsRowCount="0" totalsRowShown="0">
  <x:tableColumns count="4">
    <x:tableColumn id="1" name="family"/>
    <x:tableColumn id="2" name="frame"/>
    <x:tableColumn id="3" name="template_id"/>
    <x:tableColumn id="4" name="c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1e700ab0a2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e94c1ca9644d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4" customHeight="1">
      <x:c r="A1" s="3" t="str">
        <x:v>Stage 2D Full Draft Balance Review</x:v>
      </x:c>
      <x:c r="B1" s="3"/>
      <x:c r="C1" s="3"/>
      <x:c r="D1" s="3"/>
    </x:row>
    <x:row r="3">
      <x:c r="A3" s="6" t="str">
        <x:v>Check</x:v>
      </x:c>
      <x:c r="B3" s="9" t="str">
        <x:v>Expected</x:v>
      </x:c>
      <x:c r="C3" s="9" t="str">
        <x:v>Observed</x:v>
      </x:c>
      <x:c r="D3" s="9" t="str">
        <x:v>Status</x:v>
      </x:c>
    </x:row>
    <x:row r="4">
      <x:c r="A4" s="7" t="str">
        <x:v>Total rows</x:v>
      </x:c>
      <x:c r="B4" s="10" t="n">
        <x:v>480</x:v>
      </x:c>
      <x:c r="C4" s="10" t="n">
        <x:f>SUM('Topic Manifest'!C2:C11)</x:f>
        <x:v>480</x:v>
      </x:c>
      <x:c r="D4" s="11" t="str">
        <x:f>IF(B4=C4,"PASS","CHECK")</x:f>
        <x:v>PASS</x:v>
      </x:c>
    </x:row>
    <x:row r="5">
      <x:c r="A5" s="7" t="str">
        <x:v>Topic files</x:v>
      </x:c>
      <x:c r="B5" s="10" t="n">
        <x:v>10</x:v>
      </x:c>
      <x:c r="C5" s="10" t="n">
        <x:f>COUNTA('Topic Manifest'!A2:A11)</x:f>
        <x:v>10</x:v>
      </x:c>
      <x:c r="D5" s="11" t="str">
        <x:f>IF(B5=C5,"PASS","CHECK")</x:f>
        <x:v>PASS</x:v>
      </x:c>
    </x:row>
    <x:row r="6">
      <x:c r="A6" s="7" t="str">
        <x:v>Rows per topic</x:v>
      </x:c>
      <x:c r="B6" s="10" t="n">
        <x:v>48</x:v>
      </x:c>
      <x:c r="C6" s="10" t="n">
        <x:f>MIN('Topic Manifest'!C2:C11)</x:f>
        <x:v>48</x:v>
      </x:c>
      <x:c r="D6" s="11" t="str">
        <x:f>IF(B6=C6,"PASS","CHECK")</x:f>
        <x:v>PASS</x:v>
      </x:c>
    </x:row>
    <x:row r="7">
      <x:c r="A7" s="7" t="str">
        <x:v>Normal frame</x:v>
      </x:c>
      <x:c r="B7" s="10" t="n">
        <x:v>240</x:v>
      </x:c>
      <x:c r="C7" s="10" t="n">
        <x:f>SUM('Topic Manifest'!D2:D11)</x:f>
        <x:v>240</x:v>
      </x:c>
      <x:c r="D7" s="11" t="str">
        <x:f>IF(B7=C7,"PASS","CHECK")</x:f>
        <x:v>PASS</x:v>
      </x:c>
    </x:row>
    <x:row r="8">
      <x:c r="A8" s="7" t="str">
        <x:v>Role-play frame</x:v>
      </x:c>
      <x:c r="B8" s="10" t="n">
        <x:v>240</x:v>
      </x:c>
      <x:c r="C8" s="10" t="n">
        <x:f>SUM('Topic Manifest'!E2:E11)</x:f>
        <x:v>240</x:v>
      </x:c>
      <x:c r="D8" s="11" t="str">
        <x:f>IF(B8=C8,"PASS","CHECK")</x:f>
        <x:v>PASS</x:v>
      </x:c>
    </x:row>
    <x:row r="9">
      <x:c r="A9" s="7" t="str">
        <x:v>Factual rows</x:v>
      </x:c>
      <x:c r="B9" s="10" t="n">
        <x:v>240</x:v>
      </x:c>
      <x:c r="C9" s="10" t="n">
        <x:f>SUM('Topic Manifest'!F2:F11)</x:f>
        <x:v>240</x:v>
      </x:c>
      <x:c r="D9" s="11" t="str">
        <x:f>IF(B9=C9,"PASS","CHECK")</x:f>
        <x:v>PASS</x:v>
      </x:c>
    </x:row>
    <x:row r="10">
      <x:c r="A10" s="7" t="str">
        <x:v>Nonfactual rows</x:v>
      </x:c>
      <x:c r="B10" s="10" t="n">
        <x:v>240</x:v>
      </x:c>
      <x:c r="C10" s="10" t="n">
        <x:f>SUM('Topic Manifest'!G2:G11)</x:f>
        <x:v>240</x:v>
      </x:c>
      <x:c r="D10" s="11" t="str">
        <x:f>IF(B10=C10,"PASS","CHECK")</x:f>
        <x:v>PASS</x:v>
      </x:c>
    </x:row>
    <x:row r="11">
      <x:c r="A11" s="7" t="str">
        <x:v>Forced Yes</x:v>
      </x:c>
      <x:c r="B11" s="10" t="n">
        <x:v>240</x:v>
      </x:c>
      <x:c r="C11" s="10" t="n">
        <x:f>SUM('Topic Manifest'!H2:H11)</x:f>
        <x:v>240</x:v>
      </x:c>
      <x:c r="D11" s="11" t="str">
        <x:f>IF(B11=C11,"PASS","CHECK")</x:f>
        <x:v>PASS</x:v>
      </x:c>
    </x:row>
    <x:row r="12">
      <x:c r="A12" s="7" t="str">
        <x:v>Forced No</x:v>
      </x:c>
      <x:c r="B12" s="10" t="n">
        <x:v>240</x:v>
      </x:c>
      <x:c r="C12" s="10" t="n">
        <x:f>SUM('Topic Manifest'!I2:I11)</x:f>
        <x:v>240</x:v>
      </x:c>
      <x:c r="D12" s="11" t="str">
        <x:f>IF(B12=C12,"PASS","CHECK")</x:f>
        <x:v>PASS</x:v>
      </x:c>
    </x:row>
    <x:row r="13">
      <x:c r="A13" s="7" t="str">
        <x:v>Factual answer Yes</x:v>
      </x:c>
      <x:c r="B13" s="10" t="n">
        <x:v>240</x:v>
      </x:c>
      <x:c r="C13" s="10" t="n">
        <x:f>SUM('Topic Manifest'!J2:J11)</x:f>
        <x:v>240</x:v>
      </x:c>
      <x:c r="D13" s="11" t="str">
        <x:f>IF(B13=C13,"PASS","CHECK")</x:f>
        <x:v>PASS</x:v>
      </x:c>
    </x:row>
    <x:row r="14">
      <x:c r="A14" s="7" t="str">
        <x:v>Factual answer No</x:v>
      </x:c>
      <x:c r="B14" s="10" t="n">
        <x:v>240</x:v>
      </x:c>
      <x:c r="C14" s="10" t="n">
        <x:f>SUM('Topic Manifest'!K2:K11)</x:f>
        <x:v>240</x:v>
      </x:c>
      <x:c r="D14" s="11" t="str">
        <x:f>IF(B14=C14,"PASS","CHECK")</x:f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</x:cols>
  <x:sheetData>
    <x:row r="1">
      <x:c r="A1" s="14" t="str">
        <x:v>pair_id</x:v>
      </x:c>
      <x:c r="B1" s="14" t="str">
        <x:v>topic</x:v>
      </x:c>
      <x:c r="C1" s="14" t="str">
        <x:v>total_rows</x:v>
      </x:c>
      <x:c r="D1" s="14" t="str">
        <x:v>normal_rows</x:v>
      </x:c>
      <x:c r="E1" s="14" t="str">
        <x:v>roleplay_rows</x:v>
      </x:c>
      <x:c r="F1" s="14" t="str">
        <x:v>factual_rows</x:v>
      </x:c>
      <x:c r="G1" s="14" t="str">
        <x:v>nonfactual_rows</x:v>
      </x:c>
      <x:c r="H1" s="14" t="str">
        <x:v>forced_yes</x:v>
      </x:c>
      <x:c r="I1" s="14" t="str">
        <x:v>forced_no</x:v>
      </x:c>
      <x:c r="J1" s="14" t="str">
        <x:v>factual_answer_yes</x:v>
      </x:c>
      <x:c r="K1" s="14" t="str">
        <x:v>factual_answer_no</x:v>
      </x:c>
      <x:c r="L1" s="14" t="str">
        <x:v>template_ids</x:v>
      </x:c>
      <x:c r="M1" s="14" t="str">
        <x:v>question_forms</x:v>
      </x:c>
      <x:c r="N1" s="14" t="str">
        <x:v>status</x:v>
      </x:c>
    </x:row>
    <x:row r="2">
      <x:c r="A2" s="7" t="str">
        <x:v>T01</x:v>
      </x:c>
      <x:c r="B2" s="7" t="str">
        <x:v>Astronomy</x:v>
      </x:c>
      <x:c r="C2" s="7" t="n">
        <x:v>48</x:v>
      </x:c>
      <x:c r="D2" s="7" t="n">
        <x:v>24</x:v>
      </x:c>
      <x:c r="E2" s="7" t="n">
        <x:v>24</x:v>
      </x:c>
      <x:c r="F2" s="7" t="n">
        <x:v>24</x:v>
      </x:c>
      <x:c r="G2" s="7" t="n">
        <x:v>24</x:v>
      </x:c>
      <x:c r="H2" s="7" t="n">
        <x:v>24</x:v>
      </x:c>
      <x:c r="I2" s="7" t="n">
        <x:v>24</x:v>
      </x:c>
      <x:c r="J2" s="7" t="n">
        <x:v>24</x:v>
      </x:c>
      <x:c r="K2" s="7" t="n">
        <x:v>24</x:v>
      </x:c>
      <x:c r="L2" s="7" t="n">
        <x:v>12</x:v>
      </x:c>
      <x:c r="M2" s="7" t="n">
        <x:v>2</x:v>
      </x:c>
      <x:c r="N2" s="7" t="str">
        <x:v>draft_unvalidated</x:v>
      </x:c>
    </x:row>
    <x:row r="3">
      <x:c r="A3" s="7" t="str">
        <x:v>T02</x:v>
      </x:c>
      <x:c r="B3" s="7" t="str">
        <x:v>Geography_Australia</x:v>
      </x:c>
      <x:c r="C3" s="7" t="n">
        <x:v>48</x:v>
      </x:c>
      <x:c r="D3" s="7" t="n">
        <x:v>24</x:v>
      </x:c>
      <x:c r="E3" s="7" t="n">
        <x:v>24</x:v>
      </x:c>
      <x:c r="F3" s="7" t="n">
        <x:v>24</x:v>
      </x:c>
      <x:c r="G3" s="7" t="n">
        <x:v>24</x:v>
      </x:c>
      <x:c r="H3" s="7" t="n">
        <x:v>24</x:v>
      </x:c>
      <x:c r="I3" s="7" t="n">
        <x:v>24</x:v>
      </x:c>
      <x:c r="J3" s="7" t="n">
        <x:v>24</x:v>
      </x:c>
      <x:c r="K3" s="7" t="n">
        <x:v>24</x:v>
      </x:c>
      <x:c r="L3" s="7" t="n">
        <x:v>12</x:v>
      </x:c>
      <x:c r="M3" s="7" t="n">
        <x:v>2</x:v>
      </x:c>
      <x:c r="N3" s="7" t="str">
        <x:v>draft_unvalidated</x:v>
      </x:c>
    </x:row>
    <x:row r="4">
      <x:c r="A4" s="7" t="str">
        <x:v>T03</x:v>
      </x:c>
      <x:c r="B4" s="7" t="str">
        <x:v>Chemistry</x:v>
      </x:c>
      <x:c r="C4" s="7" t="n">
        <x:v>48</x:v>
      </x:c>
      <x:c r="D4" s="7" t="n">
        <x:v>24</x:v>
      </x:c>
      <x:c r="E4" s="7" t="n">
        <x:v>24</x:v>
      </x:c>
      <x:c r="F4" s="7" t="n">
        <x:v>24</x:v>
      </x:c>
      <x:c r="G4" s="7" t="n">
        <x:v>24</x:v>
      </x:c>
      <x:c r="H4" s="7" t="n">
        <x:v>24</x:v>
      </x:c>
      <x:c r="I4" s="7" t="n">
        <x:v>24</x:v>
      </x:c>
      <x:c r="J4" s="7" t="n">
        <x:v>24</x:v>
      </x:c>
      <x:c r="K4" s="7" t="n">
        <x:v>24</x:v>
      </x:c>
      <x:c r="L4" s="7" t="n">
        <x:v>12</x:v>
      </x:c>
      <x:c r="M4" s="7" t="n">
        <x:v>2</x:v>
      </x:c>
      <x:c r="N4" s="7" t="str">
        <x:v>draft_unvalidated</x:v>
      </x:c>
    </x:row>
    <x:row r="5">
      <x:c r="A5" s="7" t="str">
        <x:v>T04</x:v>
      </x:c>
      <x:c r="B5" s="7" t="str">
        <x:v>Zoology_Whales</x:v>
      </x:c>
      <x:c r="C5" s="7" t="n">
        <x:v>48</x:v>
      </x:c>
      <x:c r="D5" s="7" t="n">
        <x:v>24</x:v>
      </x:c>
      <x:c r="E5" s="7" t="n">
        <x:v>24</x:v>
      </x:c>
      <x:c r="F5" s="7" t="n">
        <x:v>24</x:v>
      </x:c>
      <x:c r="G5" s="7" t="n">
        <x:v>24</x:v>
      </x:c>
      <x:c r="H5" s="7" t="n">
        <x:v>24</x:v>
      </x:c>
      <x:c r="I5" s="7" t="n">
        <x:v>24</x:v>
      </x:c>
      <x:c r="J5" s="7" t="n">
        <x:v>24</x:v>
      </x:c>
      <x:c r="K5" s="7" t="n">
        <x:v>24</x:v>
      </x:c>
      <x:c r="L5" s="7" t="n">
        <x:v>12</x:v>
      </x:c>
      <x:c r="M5" s="7" t="n">
        <x:v>2</x:v>
      </x:c>
      <x:c r="N5" s="7" t="str">
        <x:v>draft_unvalidated</x:v>
      </x:c>
    </x:row>
    <x:row r="6">
      <x:c r="A6" s="7" t="str">
        <x:v>T05</x:v>
      </x:c>
      <x:c r="B6" s="7" t="str">
        <x:v>Mathematics</x:v>
      </x:c>
      <x:c r="C6" s="7" t="n">
        <x:v>48</x:v>
      </x:c>
      <x:c r="D6" s="7" t="n">
        <x:v>24</x:v>
      </x:c>
      <x:c r="E6" s="7" t="n">
        <x:v>24</x:v>
      </x:c>
      <x:c r="F6" s="7" t="n">
        <x:v>24</x:v>
      </x:c>
      <x:c r="G6" s="7" t="n">
        <x:v>24</x:v>
      </x:c>
      <x:c r="H6" s="7" t="n">
        <x:v>24</x:v>
      </x:c>
      <x:c r="I6" s="7" t="n">
        <x:v>24</x:v>
      </x:c>
      <x:c r="J6" s="7" t="n">
        <x:v>24</x:v>
      </x:c>
      <x:c r="K6" s="7" t="n">
        <x:v>24</x:v>
      </x:c>
      <x:c r="L6" s="7" t="n">
        <x:v>12</x:v>
      </x:c>
      <x:c r="M6" s="7" t="n">
        <x:v>2</x:v>
      </x:c>
      <x:c r="N6" s="7" t="str">
        <x:v>draft_unvalidated</x:v>
      </x:c>
    </x:row>
    <x:row r="7">
      <x:c r="A7" s="7" t="str">
        <x:v>T06</x:v>
      </x:c>
      <x:c r="B7" s="7" t="str">
        <x:v>Anatomy</x:v>
      </x:c>
      <x:c r="C7" s="7" t="n">
        <x:v>48</x:v>
      </x:c>
      <x:c r="D7" s="7" t="n">
        <x:v>24</x:v>
      </x:c>
      <x:c r="E7" s="7" t="n">
        <x:v>24</x:v>
      </x:c>
      <x:c r="F7" s="7" t="n">
        <x:v>24</x:v>
      </x:c>
      <x:c r="G7" s="7" t="n">
        <x:v>24</x:v>
      </x:c>
      <x:c r="H7" s="7" t="n">
        <x:v>24</x:v>
      </x:c>
      <x:c r="I7" s="7" t="n">
        <x:v>24</x:v>
      </x:c>
      <x:c r="J7" s="7" t="n">
        <x:v>24</x:v>
      </x:c>
      <x:c r="K7" s="7" t="n">
        <x:v>24</x:v>
      </x:c>
      <x:c r="L7" s="7" t="n">
        <x:v>12</x:v>
      </x:c>
      <x:c r="M7" s="7" t="n">
        <x:v>2</x:v>
      </x:c>
      <x:c r="N7" s="7" t="str">
        <x:v>draft_unvalidated</x:v>
      </x:c>
    </x:row>
    <x:row r="8">
      <x:c r="A8" s="7" t="str">
        <x:v>T07</x:v>
      </x:c>
      <x:c r="B8" s="7" t="str">
        <x:v>Zoology_Penguins</x:v>
      </x:c>
      <x:c r="C8" s="7" t="n">
        <x:v>48</x:v>
      </x:c>
      <x:c r="D8" s="7" t="n">
        <x:v>24</x:v>
      </x:c>
      <x:c r="E8" s="7" t="n">
        <x:v>24</x:v>
      </x:c>
      <x:c r="F8" s="7" t="n">
        <x:v>24</x:v>
      </x:c>
      <x:c r="G8" s="7" t="n">
        <x:v>24</x:v>
      </x:c>
      <x:c r="H8" s="7" t="n">
        <x:v>24</x:v>
      </x:c>
      <x:c r="I8" s="7" t="n">
        <x:v>24</x:v>
      </x:c>
      <x:c r="J8" s="7" t="n">
        <x:v>24</x:v>
      </x:c>
      <x:c r="K8" s="7" t="n">
        <x:v>24</x:v>
      </x:c>
      <x:c r="L8" s="7" t="n">
        <x:v>12</x:v>
      </x:c>
      <x:c r="M8" s="7" t="n">
        <x:v>2</x:v>
      </x:c>
      <x:c r="N8" s="7" t="str">
        <x:v>draft_unvalidated</x:v>
      </x:c>
    </x:row>
    <x:row r="9">
      <x:c r="A9" s="7" t="str">
        <x:v>T08</x:v>
      </x:c>
      <x:c r="B9" s="7" t="str">
        <x:v>Literature</x:v>
      </x:c>
      <x:c r="C9" s="7" t="n">
        <x:v>48</x:v>
      </x:c>
      <x:c r="D9" s="7" t="n">
        <x:v>24</x:v>
      </x:c>
      <x:c r="E9" s="7" t="n">
        <x:v>24</x:v>
      </x:c>
      <x:c r="F9" s="7" t="n">
        <x:v>24</x:v>
      </x:c>
      <x:c r="G9" s="7" t="n">
        <x:v>24</x:v>
      </x:c>
      <x:c r="H9" s="7" t="n">
        <x:v>24</x:v>
      </x:c>
      <x:c r="I9" s="7" t="n">
        <x:v>24</x:v>
      </x:c>
      <x:c r="J9" s="7" t="n">
        <x:v>24</x:v>
      </x:c>
      <x:c r="K9" s="7" t="n">
        <x:v>24</x:v>
      </x:c>
      <x:c r="L9" s="7" t="n">
        <x:v>12</x:v>
      </x:c>
      <x:c r="M9" s="7" t="n">
        <x:v>2</x:v>
      </x:c>
      <x:c r="N9" s="7" t="str">
        <x:v>draft_unvalidated</x:v>
      </x:c>
    </x:row>
    <x:row r="10">
      <x:c r="A10" s="7" t="str">
        <x:v>T09</x:v>
      </x:c>
      <x:c r="B10" s="7" t="str">
        <x:v>Botany</x:v>
      </x:c>
      <x:c r="C10" s="7" t="n">
        <x:v>48</x:v>
      </x:c>
      <x:c r="D10" s="7" t="n">
        <x:v>24</x:v>
      </x:c>
      <x:c r="E10" s="7" t="n">
        <x:v>24</x:v>
      </x:c>
      <x:c r="F10" s="7" t="n">
        <x:v>24</x:v>
      </x:c>
      <x:c r="G10" s="7" t="n">
        <x:v>24</x:v>
      </x:c>
      <x:c r="H10" s="7" t="n">
        <x:v>24</x:v>
      </x:c>
      <x:c r="I10" s="7" t="n">
        <x:v>24</x:v>
      </x:c>
      <x:c r="J10" s="7" t="n">
        <x:v>24</x:v>
      </x:c>
      <x:c r="K10" s="7" t="n">
        <x:v>24</x:v>
      </x:c>
      <x:c r="L10" s="7" t="n">
        <x:v>12</x:v>
      </x:c>
      <x:c r="M10" s="7" t="n">
        <x:v>2</x:v>
      </x:c>
      <x:c r="N10" s="7" t="str">
        <x:v>draft_unvalidated</x:v>
      </x:c>
    </x:row>
    <x:row r="11">
      <x:c r="A11" s="7" t="str">
        <x:v>T10</x:v>
      </x:c>
      <x:c r="B11" s="7" t="str">
        <x:v>Geography_Oceans</x:v>
      </x:c>
      <x:c r="C11" s="7" t="n">
        <x:v>48</x:v>
      </x:c>
      <x:c r="D11" s="7" t="n">
        <x:v>24</x:v>
      </x:c>
      <x:c r="E11" s="7" t="n">
        <x:v>24</x:v>
      </x:c>
      <x:c r="F11" s="7" t="n">
        <x:v>24</x:v>
      </x:c>
      <x:c r="G11" s="7" t="n">
        <x:v>24</x:v>
      </x:c>
      <x:c r="H11" s="7" t="n">
        <x:v>24</x:v>
      </x:c>
      <x:c r="I11" s="7" t="n">
        <x:v>24</x:v>
      </x:c>
      <x:c r="J11" s="7" t="n">
        <x:v>24</x:v>
      </x:c>
      <x:c r="K11" s="7" t="n">
        <x:v>24</x:v>
      </x:c>
      <x:c r="L11" s="7" t="n">
        <x:v>12</x:v>
      </x:c>
      <x:c r="M11" s="7" t="n">
        <x:v>2</x:v>
      </x:c>
      <x:c r="N11" s="7" t="str">
        <x:v>draft_unvalidated</x:v>
      </x:c>
    </x:row>
  </x:sheetData>
  <x:pageMargins left="0.7" right="0.7" top="0.75" bottom="0.75" header="0.3" footer="0.3"/>
  <x:tableParts count="1">
    <x:tablePart xmlns:r="http://schemas.openxmlformats.org/officeDocument/2006/relationships" r:id="Rd91e700ab0a241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70" hidden="0" customWidth="1"/>
  </x:cols>
  <x:sheetData>
    <x:row r="1">
      <x:c r="A1" s="16" t="str">
        <x:v>family</x:v>
      </x:c>
      <x:c r="B1" s="16" t="str">
        <x:v>frame</x:v>
      </x:c>
      <x:c r="C1" s="16" t="str">
        <x:v>template_id</x:v>
      </x:c>
      <x:c r="D1" s="16" t="str">
        <x:v>context</x:v>
      </x:c>
    </x:row>
    <x:row r="2" ht="34" customHeight="1">
      <x:c r="A2" s="11" t="str">
        <x:v>F01</x:v>
      </x:c>
      <x:c r="B2" s="11" t="str">
        <x:v>normal</x:v>
      </x:c>
      <x:c r="C2" s="11" t="str">
        <x:v>N01</x:v>
      </x:c>
      <x:c r="D2" s="17" t="str">
        <x:v>Respond normally using your real-world knowledge. Do not perform a character or adopt a fictional setting.</x:v>
      </x:c>
    </x:row>
    <x:row r="3" ht="34" customHeight="1">
      <x:c r="A3" s="11" t="str">
        <x:v>F01</x:v>
      </x:c>
      <x:c r="B3" s="11" t="str">
        <x:v>roleplay</x:v>
      </x:c>
      <x:c r="C3" s="11" t="str">
        <x:v>R01</x:v>
      </x:c>
      <x:c r="D3" s="17" t="str">
        <x:v>Respond as a character performing within an imagined setting. Remain in that role while answering.</x:v>
      </x:c>
    </x:row>
    <x:row r="4" ht="34" customHeight="1">
      <x:c r="A4" s="11" t="str">
        <x:v>F02</x:v>
      </x:c>
      <x:c r="B4" s="11" t="str">
        <x:v>normal</x:v>
      </x:c>
      <x:c r="C4" s="11" t="str">
        <x:v>N02</x:v>
      </x:c>
      <x:c r="D4" s="17" t="str">
        <x:v>Give a reference-quality answer for an ordinary fact-checking task. Use your general knowledge.</x:v>
      </x:c>
    </x:row>
    <x:row r="5" ht="34" customHeight="1">
      <x:c r="A5" s="11" t="str">
        <x:v>F02</x:v>
      </x:c>
      <x:c r="B5" s="11" t="str">
        <x:v>roleplay</x:v>
      </x:c>
      <x:c r="C5" s="11" t="str">
        <x:v>R02</x:v>
      </x:c>
      <x:c r="D5" s="17" t="str">
        <x:v>You are performing a scene for an audience. Deliver the answer as the person in that scene would.</x:v>
      </x:c>
    </x:row>
    <x:row r="6" ht="34" customHeight="1">
      <x:c r="A6" s="11" t="str">
        <x:v>F03</x:v>
      </x:c>
      <x:c r="B6" s="11" t="str">
        <x:v>normal</x:v>
      </x:c>
      <x:c r="C6" s="11" t="str">
        <x:v>N03</x:v>
      </x:c>
      <x:c r="D6" s="17" t="str">
        <x:v>Treat this as a real-world accuracy evaluation. Provide the answer that should appear in a factual reference.</x:v>
      </x:c>
    </x:row>
    <x:row r="7" ht="34" customHeight="1">
      <x:c r="A7" s="11" t="str">
        <x:v>F03</x:v>
      </x:c>
      <x:c r="B7" s="11" t="str">
        <x:v>roleplay</x:v>
      </x:c>
      <x:c r="C7" s="11" t="str">
        <x:v>R03</x:v>
      </x:c>
      <x:c r="D7" s="17" t="str">
        <x:v>Treat this as an in-character game. Provide the answer your assigned character would give during the game.</x:v>
      </x:c>
    </x:row>
    <x:row r="8" ht="34" customHeight="1">
      <x:c r="A8" s="11" t="str">
        <x:v>F04</x:v>
      </x:c>
      <x:c r="B8" s="11" t="str">
        <x:v>normal</x:v>
      </x:c>
      <x:c r="C8" s="11" t="str">
        <x:v>N04</x:v>
      </x:c>
      <x:c r="D8" s="17" t="str">
        <x:v>Answer from outside any story, according to ordinary real-world information.</x:v>
      </x:c>
    </x:row>
    <x:row r="9" ht="34" customHeight="1">
      <x:c r="A9" s="11" t="str">
        <x:v>F04</x:v>
      </x:c>
      <x:c r="B9" s="11" t="str">
        <x:v>roleplay</x:v>
      </x:c>
      <x:c r="C9" s="11" t="str">
        <x:v>R04</x:v>
      </x:c>
      <x:c r="D9" s="17" t="str">
        <x:v>Answer from inside the story as one of its participants, following that participant's perspective.</x:v>
      </x:c>
    </x:row>
    <x:row r="10" ht="34" customHeight="1">
      <x:c r="A10" s="11" t="str">
        <x:v>F05</x:v>
      </x:c>
      <x:c r="B10" s="11" t="str">
        <x:v>normal</x:v>
      </x:c>
      <x:c r="C10" s="11" t="str">
        <x:v>N05</x:v>
      </x:c>
      <x:c r="D10" s="17" t="str">
        <x:v>You are analyzing the question from an external, real-world perspective. Give the ordinary factual response.</x:v>
      </x:c>
    </x:row>
    <x:row r="11" ht="34" customHeight="1">
      <x:c r="A11" s="11" t="str">
        <x:v>F05</x:v>
      </x:c>
      <x:c r="B11" s="11" t="str">
        <x:v>roleplay</x:v>
      </x:c>
      <x:c r="C11" s="11" t="str">
        <x:v>R05</x:v>
      </x:c>
      <x:c r="D11" s="17" t="str">
        <x:v>You are participating inside a simulated situation rather than analyzing it externally. Respond from within that situation.</x:v>
      </x:c>
    </x:row>
    <x:row r="12" ht="34" customHeight="1">
      <x:c r="A12" s="11" t="str">
        <x:v>F06</x:v>
      </x:c>
      <x:c r="B12" s="11" t="str">
        <x:v>normal</x:v>
      </x:c>
      <x:c r="C12" s="11" t="str">
        <x:v>N06</x:v>
      </x:c>
      <x:c r="D12" s="17" t="str">
        <x:v>{short_scenario} You are an observer answering from your usual real-world perspective.</x:v>
      </x:c>
    </x:row>
    <x:row r="13" ht="34" customHeight="1">
      <x:c r="A13" s="11" t="str">
        <x:v>F06</x:v>
      </x:c>
      <x:c r="B13" s="11" t="str">
        <x:v>roleplay</x:v>
      </x:c>
      <x:c r="C13" s="11" t="str">
        <x:v>R06</x:v>
      </x:c>
      <x:c r="D13" s="17" t="str">
        <x:v>{short_scenario} You are one of the people taking part and must answer from that person's perspective.</x:v>
      </x:c>
    </x:row>
  </x:sheetData>
  <x:pageMargins left="0.7" right="0.7" top="0.75" bottom="0.75" header="0.3" footer="0.3"/>
  <x:tableParts count="1">
    <x:tablePart xmlns:r="http://schemas.openxmlformats.org/officeDocument/2006/relationships" r:id="Rd6e94c1ca9644d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16" t="str">
        <x:v>Stage 2D Draft Guide</x:v>
      </x:c>
      <x:c r="B1" s="16"/>
      <x:c r="C1" s="2"/>
      <x:c r="D1" s="2"/>
    </x:row>
    <x:row r="2">
      <x:c r="A2" s="7"/>
      <x:c r="B2" s="7"/>
    </x:row>
    <x:row r="3">
      <x:c r="A3" s="6" t="str">
        <x:v>Item</x:v>
      </x:c>
      <x:c r="B3" s="6" t="str">
        <x:v>Meaning</x:v>
      </x:c>
    </x:row>
    <x:row r="4" ht="32" customHeight="1">
      <x:c r="A4" s="7" t="str">
        <x:v>Status</x:v>
      </x:c>
      <x:c r="B4" s="17" t="str">
        <x:v>Draft and structurally checked; not fact-validated or split.</x:v>
      </x:c>
    </x:row>
    <x:row r="5" ht="32" customHeight="1">
      <x:c r="A5" s="7" t="str">
        <x:v>Storage</x:v>
      </x:c>
      <x:c r="B5" s="17" t="str">
        <x:v>Ten topic CSV files with 48 rows each.</x:v>
      </x:c>
    </x:row>
    <x:row r="6" ht="32" customHeight="1">
      <x:c r="A6" s="7" t="str">
        <x:v>Factorial cells</x:v>
      </x:c>
      <x:c r="B6" s="17" t="str">
        <x:v>Normal factual, normal nonfactual, role-play factual, role-play nonfactual.</x:v>
      </x:c>
    </x:row>
    <x:row r="7" ht="32" customHeight="1">
      <x:c r="A7" s="7" t="str">
        <x:v>Question forms</x:v>
      </x:c>
      <x:c r="B7" s="17" t="str">
        <x:v>One factual-answer-Yes and one factual-answer-No question per topic.</x:v>
      </x:c>
    </x:row>
    <x:row r="8" ht="32" customHeight="1">
      <x:c r="A8" s="7" t="str">
        <x:v>Forced answers</x:v>
      </x:c>
      <x:c r="B8" s="17" t="str">
        <x:v>Both Yes and No are evaluated for every question and frame.</x:v>
      </x:c>
    </x:row>
    <x:row r="9" ht="32" customHeight="1">
      <x:c r="A9" s="7" t="str">
        <x:v>Next gate</x:v>
      </x:c>
      <x:c r="B9" s="17" t="str">
        <x:v>Manual wording review before Stage 3 split assignment.</x:v>
      </x:c>
    </x:row>
    <x:row r="10" ht="32" customHeight="1">
      <x:c r="A10" s="7" t="str">
        <x:v>No model run</x:v>
      </x:c>
      <x:c r="B10" s="17" t="str">
        <x:v>No activations or generated answers are included.</x:v>
      </x:c>
    </x:row>
  </x:sheetData>
  <x:mergeCells>
    <x:mergeCell ref="A1:D1"/>
  </x:mergeCells>
  <x:pageMargins left="0.7" right="0.7" top="0.75" bottom="0.75" header="0.3" footer="0.3"/>
</x:worksheet>
</file>